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e Log" sheetId="1" r:id="rId4"/>
    <sheet state="visible" name="Model Dashboard" sheetId="2" r:id="rId5"/>
  </sheets>
  <definedNames/>
  <calcPr/>
</workbook>
</file>

<file path=xl/sharedStrings.xml><?xml version="1.0" encoding="utf-8"?>
<sst xmlns="http://schemas.openxmlformats.org/spreadsheetml/2006/main" count="14" uniqueCount="14">
  <si>
    <t>Date</t>
  </si>
  <si>
    <t>Ticker</t>
  </si>
  <si>
    <t>Entry Price</t>
  </si>
  <si>
    <t>Current ATR</t>
  </si>
  <si>
    <t>Model Prediction</t>
  </si>
  <si>
    <t>Model Confidence</t>
  </si>
  <si>
    <t>Target/Exit Date</t>
  </si>
  <si>
    <t>Exit Price</t>
  </si>
  <si>
    <t>Return ($)</t>
  </si>
  <si>
    <t>Return (%)</t>
  </si>
  <si>
    <t>Correct?</t>
  </si>
  <si>
    <t>Total Trades</t>
  </si>
  <si>
    <t>Win Rate</t>
  </si>
  <si>
    <t>Average Confidence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</si>
</sst>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4" xfId="0" applyFont="1" applyNumberFormat="1"/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0.13"/>
    <col customWidth="1" min="3" max="3" width="11.13"/>
    <col customWidth="1" min="4" max="4" width="12.5"/>
    <col customWidth="1" min="5" max="5" width="15.88"/>
    <col customWidth="1" min="6" max="6" width="18.13"/>
    <col customWidth="1" min="7" max="7" width="16.5"/>
    <col customWidth="1" min="8" max="8" width="12.13"/>
    <col customWidth="1" min="9" max="10" width="12.88"/>
    <col customWidth="1" min="11" max="11" width="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45999.0</v>
      </c>
      <c r="G2" s="3">
        <f>WORKDAY(A2, 5)</f>
        <v>46006</v>
      </c>
      <c r="I2" s="4">
        <f>H2 - C2</f>
        <v>0</v>
      </c>
      <c r="J2" s="4" t="str">
        <f>(H2 - C2) / C2</f>
        <v>#DIV/0!</v>
      </c>
      <c r="K2" s="4" t="str">
        <f>IF(E2="HOLD", "SKIPPED", IF(OR(AND(E2="BUY", I2&gt;0), AND(E2="SELL", I2&lt;0)), "CORRECT", "INCORRECT"))</f>
        <v>INCORRECT</v>
      </c>
    </row>
  </sheetData>
  <conditionalFormatting sqref="E1:E1000">
    <cfRule type="cellIs" dxfId="0" priority="1" operator="equal">
      <formula>"BUY"</formula>
    </cfRule>
  </conditionalFormatting>
  <conditionalFormatting sqref="E1:E1000">
    <cfRule type="cellIs" dxfId="1" priority="2" operator="equal">
      <formula>"HOLD"</formula>
    </cfRule>
  </conditionalFormatting>
  <conditionalFormatting sqref="E1:E1000">
    <cfRule type="cellIs" dxfId="2" priority="3" operator="equal">
      <formula>"SELL"</formula>
    </cfRule>
  </conditionalFormatting>
  <conditionalFormatting sqref="K1:K1000">
    <cfRule type="cellIs" dxfId="3" priority="4" operator="equal">
      <formula>"CORRECT"</formula>
    </cfRule>
  </conditionalFormatting>
  <conditionalFormatting sqref="K1:K1000">
    <cfRule type="cellIs" dxfId="4" priority="5" operator="equal">
      <formula>"INCORRECT"</formula>
    </cfRule>
  </conditionalFormatting>
  <conditionalFormatting sqref="F1:F1000">
    <cfRule type="colorScale" priority="6">
      <colorScale>
        <cfvo type="formula" val="0.33"/>
        <cfvo type="formula" val="1"/>
        <color rgb="FFCFE2F3"/>
        <color rgb="FF0B5394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6.38"/>
    <col customWidth="1" min="3" max="3" width="41.88"/>
  </cols>
  <sheetData>
    <row r="1">
      <c r="A1" s="1" t="s">
        <v>11</v>
      </c>
      <c r="B1" s="1" t="s">
        <v>12</v>
      </c>
      <c r="C1" s="1" t="s">
        <v>13</v>
      </c>
    </row>
    <row r="2">
      <c r="A2" s="4" t="str">
        <f>COUNTIF('Trade Ledger'!E:E, "BUY") + COUNTIF('Trade Ledger'!E:E, "SELL")</f>
        <v>#REF!</v>
      </c>
      <c r="B2" s="4" t="str">
        <f>COUNTIF('Trade Ledger'!L:L, "CORRECT") / (COUNTIF('Trade Ledger'!L:L, "CORRECT") + COUNTIF('Trade Ledger'!L:L, "INCORRECT"))</f>
        <v>#REF!</v>
      </c>
      <c r="C2" s="4" t="str">
        <f>AVERAGE('Trade Ledger'!F:F)</f>
        <v>#REF!</v>
      </c>
    </row>
  </sheetData>
  <drawing r:id="rId1"/>
</worksheet>
</file>